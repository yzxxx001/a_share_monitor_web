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3e6b239ee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仓录入" sheetId="1" r:id="Rb104f65acb8e41f5"/>
    <x:sheet xmlns:r="http://schemas.openxmlformats.org/officeDocument/2006/relationships" name="字段说明" sheetId="2" r:id="R11a5cc5e3cc846a5"/>
    <x:sheet xmlns:r="http://schemas.openxmlformats.org/officeDocument/2006/relationships" name="规则说明" sheetId="3" r:id="R8d4c0d6a688e484a"/>
    <x:sheet xmlns:r="http://schemas.openxmlformats.org/officeDocument/2006/relationships" name="接入清单" sheetId="4" r:id="Rdd0a23d6f69c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%;[Red](0.0%);-"/>
    <x:numFmt numFmtId="202" formatCode="0.00;[Red](0.00);-"/>
    <x:numFmt numFmtId="203" formatCode="#,##0.00;[Red](#,##0.00);-"/>
    <x:numFmt numFmtId="204" formatCode="#,##0;[Red](#,##0);-"/>
  </x:numFmts>
  <x:fonts count="7">
    <x:font>
      <x:sz val="11"/>
      <x:name val="Carlito"/>
    </x:font>
    <x:font>
      <x:b/>
      <x:sz val="16"/>
      <x:color rgb="FFFFFF"/>
      <x:name val="Carlito"/>
    </x:font>
    <x:font>
      <x:sz val="10"/>
      <x:color rgb="1F1F1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5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2" fontId="4" fillId="4" borderId="1" xfId="0" applyNumberFormat="1" applyFont="1" applyFill="1" applyBorder="1" applyAlignment="1">
      <x:alignment vertical="center" wrapText="1"/>
    </x:xf>
    <x:xf numFmtId="203" fontId="5" fillId="5" borderId="0" xfId="0" applyNumberFormat="1" applyFont="1" applyFill="1" applyBorder="1" applyAlignment="1">
      <x:alignment vertical="center" wrapText="1"/>
    </x:xf>
    <x:xf numFmtId="203" fontId="5" fillId="5" borderId="1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  <x:xf numFmtId="204" fontId="4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B91C1C"/>
      </x:font>
      <x:fill>
        <x:patternFill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b30de55f3448a" /><Relationship Type="http://schemas.openxmlformats.org/officeDocument/2006/relationships/theme" Target="/xl/theme/theme1.xml" Id="Rebede32a5e3f4822" /><Relationship Type="http://schemas.openxmlformats.org/officeDocument/2006/relationships/sharedStrings" Target="/xl/sharedStrings.xml" Id="R7f233d7023d64c8c" /><Relationship Type="http://schemas.openxmlformats.org/officeDocument/2006/relationships/worksheet" Target="/xl/worksheets/sheet1.xml" Id="Rb104f65acb8e41f5" /><Relationship Type="http://schemas.openxmlformats.org/officeDocument/2006/relationships/worksheet" Target="/xl/worksheets/sheet2.xml" Id="R11a5cc5e3cc846a5" /><Relationship Type="http://schemas.openxmlformats.org/officeDocument/2006/relationships/worksheet" Target="/xl/worksheets/sheet3.xml" Id="R8d4c0d6a688e484a" /><Relationship Type="http://schemas.openxmlformats.org/officeDocument/2006/relationships/worksheet" Target="/xl/worksheets/sheet4.xml" Id="Rdd0a23d6f69c441b" /></Relationships>
</file>

<file path=xl/tables/table1.xml><?xml version="1.0" encoding="utf-8"?>
<x:table xmlns:x="http://schemas.openxmlformats.org/spreadsheetml/2006/main" id="1" name="PositionsInputTable" displayName="PositionsInputTable" ref="A4:Q24" headerRowCount="1">
  <x:tableColumns count="17">
    <x:tableColumn id="1" name="启用"/>
    <x:tableColumn id="2" name="股票代码"/>
    <x:tableColumn id="3" name="股票名称"/>
    <x:tableColumn id="4" name="持仓股数"/>
    <x:tableColumn id="5" name="可卖股数"/>
    <x:tableColumn id="6" name="持仓成本"/>
    <x:tableColumn id="7" name="账户总资产"/>
    <x:tableColumn id="8" name="可用现金"/>
    <x:tableColumn id="9" name="最大仓位比例"/>
    <x:tableColumn id="10" name="固定止损比例"/>
    <x:tableColumn id="11" name="止盈触发比例"/>
    <x:tableColumn id="12" name="移动止盈回撤比例"/>
    <x:tableColumn id="13" name="单次最大新增仓位比例"/>
    <x:tableColumn id="14" name="历史持有最高价"/>
    <x:tableColumn id="15" name="备注"/>
    <x:tableColumn id="16" name="成本市值（计算）"/>
    <x:tableColumn id="17" name="成本仓位占比（计算）"/>
  </x:tableColumns>
  <x:tableStyleInfo name="TableStyleMedium2" showRowStripes="1"/>
</x:table>
</file>

<file path=xl/tables/table2.xml><?xml version="1.0" encoding="utf-8"?>
<x:table xmlns:x="http://schemas.openxmlformats.org/spreadsheetml/2006/main" id="2" name="FieldGuideTable" displayName="FieldGuideTable" ref="A3:D18" headerRowCount="1">
  <x:tableColumns count="4">
    <x:tableColumn id="1" name="字段"/>
    <x:tableColumn id="2" name="是否必填"/>
    <x:tableColumn id="3" name="用途"/>
    <x:tableColumn id="4" name="填写示例/注意事项"/>
  </x:tableColumns>
  <x:tableStyleInfo name="TableStyleMedium2" showRowStripes="1"/>
</x:table>
</file>

<file path=xl/tables/table3.xml><?xml version="1.0" encoding="utf-8"?>
<x:table xmlns:x="http://schemas.openxmlformats.org/spreadsheetml/2006/main" id="3" name="RuleGuideTable" displayName="RuleGuideTable" ref="A3:D8" headerRowCount="1">
  <x:tableColumns count="4">
    <x:tableColumn id="1" name="规则"/>
    <x:tableColumn id="2" name="默认级别"/>
    <x:tableColumn id="3" name="触发条件"/>
    <x:tableColumn id="4" name="提醒动作"/>
  </x:tableColumns>
  <x:tableStyleInfo name="TableStyleMedium2" showRowStripes="1"/>
</x:table>
</file>

<file path=xl/tables/table4.xml><?xml version="1.0" encoding="utf-8"?>
<x:table xmlns:x="http://schemas.openxmlformats.org/spreadsheetml/2006/main" id="4" name="SetupChecklistTable" displayName="SetupChecklistTable" ref="A3:D8" headerRowCount="1">
  <x:tableColumns count="4">
    <x:tableColumn id="1" name="项目"/>
    <x:tableColumn id="2" name="在哪里填写"/>
    <x:tableColumn id="3" name="是否需要凭据/审核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d582a9b95a4d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241cdc220a4e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d5556b40cc42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14532ec97249e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6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8" hidden="0" customWidth="1"/>
    <x:col min="16" max="16" width="19" hidden="0" customWidth="1"/>
    <x:col min="17" max="17" width="19" hidden="0" customWidth="1"/>
  </x:cols>
  <x:sheetData>
    <x:row r="1" ht="32" customHeight="1">
      <x:c r="A1" s="7" t="str">
        <x:v>A股监控仓位录入模板（Web V2）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42" customHeight="1">
      <x:c r="A2" s="15" t="str">
        <x:v>填写方式：在下方任一行将“启用”改为“是”，填写股票代码与实际仓位信息；保存后在网页点击“导入 Excel 持仓”。网页新增/编辑后的数据保存在 SQLite。黄色单元格为需确认/修改的输入。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4" ht="36" customHeight="1">
      <x:c r="A4" s="23" t="str">
        <x:v>启用</x:v>
      </x:c>
      <x:c r="B4" s="23" t="str">
        <x:v>股票代码</x:v>
      </x:c>
      <x:c r="C4" s="23" t="str">
        <x:v>股票名称</x:v>
      </x:c>
      <x:c r="D4" s="23" t="str">
        <x:v>持仓股数</x:v>
      </x:c>
      <x:c r="E4" s="23" t="str">
        <x:v>可卖股数</x:v>
      </x:c>
      <x:c r="F4" s="23" t="str">
        <x:v>持仓成本</x:v>
      </x:c>
      <x:c r="G4" s="23" t="str">
        <x:v>账户总资产</x:v>
      </x:c>
      <x:c r="H4" s="23" t="str">
        <x:v>可用现金</x:v>
      </x:c>
      <x:c r="I4" s="23" t="str">
        <x:v>最大仓位比例</x:v>
      </x:c>
      <x:c r="J4" s="23" t="str">
        <x:v>固定止损比例</x:v>
      </x:c>
      <x:c r="K4" s="23" t="str">
        <x:v>止盈触发比例</x:v>
      </x:c>
      <x:c r="L4" s="23" t="str">
        <x:v>移动止盈回撤比例</x:v>
      </x:c>
      <x:c r="M4" s="23" t="str">
        <x:v>单次最大新增仓位比例</x:v>
      </x:c>
      <x:c r="N4" s="23" t="str">
        <x:v>历史持有最高价</x:v>
      </x:c>
      <x:c r="O4" s="23" t="str">
        <x:v>备注</x:v>
      </x:c>
      <x:c r="P4" s="23" t="str">
        <x:v>成本市值（计算）</x:v>
      </x:c>
      <x:c r="Q4" s="23" t="str">
        <x:v>成本仓位占比（计算）</x:v>
      </x:c>
    </x:row>
    <x:row r="5">
      <x:c r="A5" s="29" t="str">
        <x:v>否</x:v>
      </x:c>
      <x:c r="B5" s="32" t="str"/>
      <x:c r="C5" s="32" t="str"/>
      <x:c r="D5" s="48" t="n">
        <x:v>0</x:v>
      </x:c>
      <x:c r="E5" s="48" t="n">
        <x:v>0</x:v>
      </x:c>
      <x:c r="F5" s="44"/>
      <x:c r="G5" s="44"/>
      <x:c r="H5" s="44"/>
      <x:c r="I5" s="40" t="n">
        <x:v>0.3</x:v>
      </x:c>
      <x:c r="J5" s="40" t="n">
        <x:v>0.05</x:v>
      </x:c>
      <x:c r="K5" s="40" t="n">
        <x:v>0.12</x:v>
      </x:c>
      <x:c r="L5" s="40" t="n">
        <x:v>0.04</x:v>
      </x:c>
      <x:c r="M5" s="40" t="n">
        <x:v>0.1</x:v>
      </x:c>
      <x:c r="N5" s="44"/>
      <x:c r="O5" s="32" t="str"/>
      <x:c r="P5" s="46" t="str">
        <x:f>IF(OR(D5=0,F5=""),"",D5*F5)</x:f>
      </x:c>
      <x:c r="Q5" s="42" t="str">
        <x:f>IF(OR(P5="",G5=""),"",P5/G5)</x:f>
      </x:c>
    </x:row>
    <x:row r="6">
      <x:c r="A6" s="29" t="str">
        <x:v>否</x:v>
      </x:c>
      <x:c r="B6" s="32" t="str"/>
      <x:c r="C6" s="32" t="str"/>
      <x:c r="D6" s="48" t="n">
        <x:v>0</x:v>
      </x:c>
      <x:c r="E6" s="48" t="n">
        <x:v>0</x:v>
      </x:c>
      <x:c r="F6" s="44"/>
      <x:c r="G6" s="44"/>
      <x:c r="H6" s="44"/>
      <x:c r="I6" s="40" t="n">
        <x:v>0.3</x:v>
      </x:c>
      <x:c r="J6" s="40" t="n">
        <x:v>0.05</x:v>
      </x:c>
      <x:c r="K6" s="40" t="n">
        <x:v>0.12</x:v>
      </x:c>
      <x:c r="L6" s="40" t="n">
        <x:v>0.04</x:v>
      </x:c>
      <x:c r="M6" s="40" t="n">
        <x:v>0.1</x:v>
      </x:c>
      <x:c r="N6" s="44"/>
      <x:c r="O6" s="32" t="str"/>
      <x:c r="P6" s="46" t="str">
        <x:f>IF(OR(D6=0,F6=""),"",D6*F6)</x:f>
      </x:c>
      <x:c r="Q6" s="42" t="str">
        <x:f>IF(OR(P6="",G6=""),"",P6/G6)</x:f>
      </x:c>
    </x:row>
    <x:row r="7">
      <x:c r="A7" s="29" t="str">
        <x:v>否</x:v>
      </x:c>
      <x:c r="B7" s="32" t="str"/>
      <x:c r="C7" s="32" t="str"/>
      <x:c r="D7" s="48" t="n">
        <x:v>0</x:v>
      </x:c>
      <x:c r="E7" s="48" t="n">
        <x:v>0</x:v>
      </x:c>
      <x:c r="F7" s="44"/>
      <x:c r="G7" s="44"/>
      <x:c r="H7" s="44"/>
      <x:c r="I7" s="40" t="n">
        <x:v>0.3</x:v>
      </x:c>
      <x:c r="J7" s="40" t="n">
        <x:v>0.05</x:v>
      </x:c>
      <x:c r="K7" s="40" t="n">
        <x:v>0.12</x:v>
      </x:c>
      <x:c r="L7" s="40" t="n">
        <x:v>0.04</x:v>
      </x:c>
      <x:c r="M7" s="40" t="n">
        <x:v>0.1</x:v>
      </x:c>
      <x:c r="N7" s="44"/>
      <x:c r="O7" s="32" t="str"/>
      <x:c r="P7" s="46" t="str">
        <x:f>IF(OR(D7=0,F7=""),"",D7*F7)</x:f>
      </x:c>
      <x:c r="Q7" s="42" t="str">
        <x:f>IF(OR(P7="",G7=""),"",P7/G7)</x:f>
      </x:c>
    </x:row>
    <x:row r="8">
      <x:c r="A8" s="29" t="str">
        <x:v>否</x:v>
      </x:c>
      <x:c r="B8" s="32" t="str"/>
      <x:c r="C8" s="32" t="str"/>
      <x:c r="D8" s="48" t="n">
        <x:v>0</x:v>
      </x:c>
      <x:c r="E8" s="48" t="n">
        <x:v>0</x:v>
      </x:c>
      <x:c r="F8" s="44"/>
      <x:c r="G8" s="44"/>
      <x:c r="H8" s="44"/>
      <x:c r="I8" s="40" t="n">
        <x:v>0.3</x:v>
      </x:c>
      <x:c r="J8" s="40" t="n">
        <x:v>0.05</x:v>
      </x:c>
      <x:c r="K8" s="40" t="n">
        <x:v>0.12</x:v>
      </x:c>
      <x:c r="L8" s="40" t="n">
        <x:v>0.04</x:v>
      </x:c>
      <x:c r="M8" s="40" t="n">
        <x:v>0.1</x:v>
      </x:c>
      <x:c r="N8" s="44"/>
      <x:c r="O8" s="32" t="str"/>
      <x:c r="P8" s="46" t="str">
        <x:f>IF(OR(D8=0,F8=""),"",D8*F8)</x:f>
      </x:c>
      <x:c r="Q8" s="42" t="str">
        <x:f>IF(OR(P8="",G8=""),"",P8/G8)</x:f>
      </x:c>
    </x:row>
    <x:row r="9">
      <x:c r="A9" s="29" t="str">
        <x:v>否</x:v>
      </x:c>
      <x:c r="B9" s="32" t="str"/>
      <x:c r="C9" s="32" t="str"/>
      <x:c r="D9" s="48" t="n">
        <x:v>0</x:v>
      </x:c>
      <x:c r="E9" s="48" t="n">
        <x:v>0</x:v>
      </x:c>
      <x:c r="F9" s="44"/>
      <x:c r="G9" s="44"/>
      <x:c r="H9" s="44"/>
      <x:c r="I9" s="40" t="n">
        <x:v>0.3</x:v>
      </x:c>
      <x:c r="J9" s="40" t="n">
        <x:v>0.05</x:v>
      </x:c>
      <x:c r="K9" s="40" t="n">
        <x:v>0.12</x:v>
      </x:c>
      <x:c r="L9" s="40" t="n">
        <x:v>0.04</x:v>
      </x:c>
      <x:c r="M9" s="40" t="n">
        <x:v>0.1</x:v>
      </x:c>
      <x:c r="N9" s="44"/>
      <x:c r="O9" s="32" t="str"/>
      <x:c r="P9" s="46" t="str">
        <x:f>IF(OR(D9=0,F9=""),"",D9*F9)</x:f>
      </x:c>
      <x:c r="Q9" s="42" t="str">
        <x:f>IF(OR(P9="",G9=""),"",P9/G9)</x:f>
      </x:c>
    </x:row>
    <x:row r="10">
      <x:c r="A10" s="29" t="str">
        <x:v>否</x:v>
      </x:c>
      <x:c r="B10" s="32" t="str"/>
      <x:c r="C10" s="32" t="str"/>
      <x:c r="D10" s="48" t="n">
        <x:v>0</x:v>
      </x:c>
      <x:c r="E10" s="48" t="n">
        <x:v>0</x:v>
      </x:c>
      <x:c r="F10" s="44"/>
      <x:c r="G10" s="44"/>
      <x:c r="H10" s="44"/>
      <x:c r="I10" s="40" t="n">
        <x:v>0.3</x:v>
      </x:c>
      <x:c r="J10" s="40" t="n">
        <x:v>0.05</x:v>
      </x:c>
      <x:c r="K10" s="40" t="n">
        <x:v>0.12</x:v>
      </x:c>
      <x:c r="L10" s="40" t="n">
        <x:v>0.04</x:v>
      </x:c>
      <x:c r="M10" s="40" t="n">
        <x:v>0.1</x:v>
      </x:c>
      <x:c r="N10" s="44"/>
      <x:c r="O10" s="32" t="str"/>
      <x:c r="P10" s="46" t="str">
        <x:f>IF(OR(D10=0,F10=""),"",D10*F10)</x:f>
      </x:c>
      <x:c r="Q10" s="42" t="str">
        <x:f>IF(OR(P10="",G10=""),"",P10/G10)</x:f>
      </x:c>
    </x:row>
    <x:row r="11">
      <x:c r="A11" s="29" t="str">
        <x:v>否</x:v>
      </x:c>
      <x:c r="B11" s="32" t="str"/>
      <x:c r="C11" s="32" t="str"/>
      <x:c r="D11" s="48" t="n">
        <x:v>0</x:v>
      </x:c>
      <x:c r="E11" s="48" t="n">
        <x:v>0</x:v>
      </x:c>
      <x:c r="F11" s="44"/>
      <x:c r="G11" s="44"/>
      <x:c r="H11" s="44"/>
      <x:c r="I11" s="40" t="n">
        <x:v>0.3</x:v>
      </x:c>
      <x:c r="J11" s="40" t="n">
        <x:v>0.05</x:v>
      </x:c>
      <x:c r="K11" s="40" t="n">
        <x:v>0.12</x:v>
      </x:c>
      <x:c r="L11" s="40" t="n">
        <x:v>0.04</x:v>
      </x:c>
      <x:c r="M11" s="40" t="n">
        <x:v>0.1</x:v>
      </x:c>
      <x:c r="N11" s="44"/>
      <x:c r="O11" s="32" t="str"/>
      <x:c r="P11" s="46" t="str">
        <x:f>IF(OR(D11=0,F11=""),"",D11*F11)</x:f>
      </x:c>
      <x:c r="Q11" s="42" t="str">
        <x:f>IF(OR(P11="",G11=""),"",P11/G11)</x:f>
      </x:c>
    </x:row>
    <x:row r="12">
      <x:c r="A12" s="29" t="str">
        <x:v>否</x:v>
      </x:c>
      <x:c r="B12" s="32" t="str"/>
      <x:c r="C12" s="32" t="str"/>
      <x:c r="D12" s="48" t="n">
        <x:v>0</x:v>
      </x:c>
      <x:c r="E12" s="48" t="n">
        <x:v>0</x:v>
      </x:c>
      <x:c r="F12" s="44"/>
      <x:c r="G12" s="44"/>
      <x:c r="H12" s="44"/>
      <x:c r="I12" s="40" t="n">
        <x:v>0.3</x:v>
      </x:c>
      <x:c r="J12" s="40" t="n">
        <x:v>0.05</x:v>
      </x:c>
      <x:c r="K12" s="40" t="n">
        <x:v>0.12</x:v>
      </x:c>
      <x:c r="L12" s="40" t="n">
        <x:v>0.04</x:v>
      </x:c>
      <x:c r="M12" s="40" t="n">
        <x:v>0.1</x:v>
      </x:c>
      <x:c r="N12" s="44"/>
      <x:c r="O12" s="32" t="str"/>
      <x:c r="P12" s="46" t="str">
        <x:f>IF(OR(D12=0,F12=""),"",D12*F12)</x:f>
      </x:c>
      <x:c r="Q12" s="42" t="str">
        <x:f>IF(OR(P12="",G12=""),"",P12/G12)</x:f>
      </x:c>
    </x:row>
    <x:row r="13">
      <x:c r="A13" s="29" t="str">
        <x:v>否</x:v>
      </x:c>
      <x:c r="B13" s="32" t="str"/>
      <x:c r="C13" s="32" t="str"/>
      <x:c r="D13" s="48" t="n">
        <x:v>0</x:v>
      </x:c>
      <x:c r="E13" s="48" t="n">
        <x:v>0</x:v>
      </x:c>
      <x:c r="F13" s="44"/>
      <x:c r="G13" s="44"/>
      <x:c r="H13" s="44"/>
      <x:c r="I13" s="40" t="n">
        <x:v>0.3</x:v>
      </x:c>
      <x:c r="J13" s="40" t="n">
        <x:v>0.05</x:v>
      </x:c>
      <x:c r="K13" s="40" t="n">
        <x:v>0.12</x:v>
      </x:c>
      <x:c r="L13" s="40" t="n">
        <x:v>0.04</x:v>
      </x:c>
      <x:c r="M13" s="40" t="n">
        <x:v>0.1</x:v>
      </x:c>
      <x:c r="N13" s="44"/>
      <x:c r="O13" s="32" t="str"/>
      <x:c r="P13" s="46" t="str">
        <x:f>IF(OR(D13=0,F13=""),"",D13*F13)</x:f>
      </x:c>
      <x:c r="Q13" s="42" t="str">
        <x:f>IF(OR(P13="",G13=""),"",P13/G13)</x:f>
      </x:c>
    </x:row>
    <x:row r="14">
      <x:c r="A14" s="29" t="str">
        <x:v>否</x:v>
      </x:c>
      <x:c r="B14" s="32" t="str"/>
      <x:c r="C14" s="32" t="str"/>
      <x:c r="D14" s="48" t="n">
        <x:v>0</x:v>
      </x:c>
      <x:c r="E14" s="48" t="n">
        <x:v>0</x:v>
      </x:c>
      <x:c r="F14" s="44"/>
      <x:c r="G14" s="44"/>
      <x:c r="H14" s="44"/>
      <x:c r="I14" s="40" t="n">
        <x:v>0.3</x:v>
      </x:c>
      <x:c r="J14" s="40" t="n">
        <x:v>0.05</x:v>
      </x:c>
      <x:c r="K14" s="40" t="n">
        <x:v>0.12</x:v>
      </x:c>
      <x:c r="L14" s="40" t="n">
        <x:v>0.04</x:v>
      </x:c>
      <x:c r="M14" s="40" t="n">
        <x:v>0.1</x:v>
      </x:c>
      <x:c r="N14" s="44"/>
      <x:c r="O14" s="32" t="str"/>
      <x:c r="P14" s="46" t="str">
        <x:f>IF(OR(D14=0,F14=""),"",D14*F14)</x:f>
      </x:c>
      <x:c r="Q14" s="42" t="str">
        <x:f>IF(OR(P14="",G14=""),"",P14/G14)</x:f>
      </x:c>
    </x:row>
    <x:row r="15">
      <x:c r="A15" s="29" t="str">
        <x:v>否</x:v>
      </x:c>
      <x:c r="B15" s="32" t="str"/>
      <x:c r="C15" s="32" t="str"/>
      <x:c r="D15" s="48" t="n">
        <x:v>0</x:v>
      </x:c>
      <x:c r="E15" s="48" t="n">
        <x:v>0</x:v>
      </x:c>
      <x:c r="F15" s="44"/>
      <x:c r="G15" s="44"/>
      <x:c r="H15" s="44"/>
      <x:c r="I15" s="40" t="n">
        <x:v>0.3</x:v>
      </x:c>
      <x:c r="J15" s="40" t="n">
        <x:v>0.05</x:v>
      </x:c>
      <x:c r="K15" s="40" t="n">
        <x:v>0.12</x:v>
      </x:c>
      <x:c r="L15" s="40" t="n">
        <x:v>0.04</x:v>
      </x:c>
      <x:c r="M15" s="40" t="n">
        <x:v>0.1</x:v>
      </x:c>
      <x:c r="N15" s="44"/>
      <x:c r="O15" s="32" t="str"/>
      <x:c r="P15" s="46" t="str">
        <x:f>IF(OR(D15=0,F15=""),"",D15*F15)</x:f>
      </x:c>
      <x:c r="Q15" s="42" t="str">
        <x:f>IF(OR(P15="",G15=""),"",P15/G15)</x:f>
      </x:c>
    </x:row>
    <x:row r="16">
      <x:c r="A16" s="29" t="str">
        <x:v>否</x:v>
      </x:c>
      <x:c r="B16" s="32" t="str"/>
      <x:c r="C16" s="32" t="str"/>
      <x:c r="D16" s="48" t="n">
        <x:v>0</x:v>
      </x:c>
      <x:c r="E16" s="48" t="n">
        <x:v>0</x:v>
      </x:c>
      <x:c r="F16" s="44"/>
      <x:c r="G16" s="44"/>
      <x:c r="H16" s="44"/>
      <x:c r="I16" s="40" t="n">
        <x:v>0.3</x:v>
      </x:c>
      <x:c r="J16" s="40" t="n">
        <x:v>0.05</x:v>
      </x:c>
      <x:c r="K16" s="40" t="n">
        <x:v>0.12</x:v>
      </x:c>
      <x:c r="L16" s="40" t="n">
        <x:v>0.04</x:v>
      </x:c>
      <x:c r="M16" s="40" t="n">
        <x:v>0.1</x:v>
      </x:c>
      <x:c r="N16" s="44"/>
      <x:c r="O16" s="32" t="str"/>
      <x:c r="P16" s="46" t="str">
        <x:f>IF(OR(D16=0,F16=""),"",D16*F16)</x:f>
      </x:c>
      <x:c r="Q16" s="42" t="str">
        <x:f>IF(OR(P16="",G16=""),"",P16/G16)</x:f>
      </x:c>
    </x:row>
    <x:row r="17">
      <x:c r="A17" s="29" t="str">
        <x:v>否</x:v>
      </x:c>
      <x:c r="B17" s="32" t="str"/>
      <x:c r="C17" s="32" t="str"/>
      <x:c r="D17" s="48" t="n">
        <x:v>0</x:v>
      </x:c>
      <x:c r="E17" s="48" t="n">
        <x:v>0</x:v>
      </x:c>
      <x:c r="F17" s="44"/>
      <x:c r="G17" s="44"/>
      <x:c r="H17" s="44"/>
      <x:c r="I17" s="40" t="n">
        <x:v>0.3</x:v>
      </x:c>
      <x:c r="J17" s="40" t="n">
        <x:v>0.05</x:v>
      </x:c>
      <x:c r="K17" s="40" t="n">
        <x:v>0.12</x:v>
      </x:c>
      <x:c r="L17" s="40" t="n">
        <x:v>0.04</x:v>
      </x:c>
      <x:c r="M17" s="40" t="n">
        <x:v>0.1</x:v>
      </x:c>
      <x:c r="N17" s="44"/>
      <x:c r="O17" s="32" t="str"/>
      <x:c r="P17" s="46" t="str">
        <x:f>IF(OR(D17=0,F17=""),"",D17*F17)</x:f>
      </x:c>
      <x:c r="Q17" s="42" t="str">
        <x:f>IF(OR(P17="",G17=""),"",P17/G17)</x:f>
      </x:c>
    </x:row>
    <x:row r="18">
      <x:c r="A18" s="29" t="str">
        <x:v>否</x:v>
      </x:c>
      <x:c r="B18" s="32" t="str"/>
      <x:c r="C18" s="32" t="str"/>
      <x:c r="D18" s="48" t="n">
        <x:v>0</x:v>
      </x:c>
      <x:c r="E18" s="48" t="n">
        <x:v>0</x:v>
      </x:c>
      <x:c r="F18" s="44"/>
      <x:c r="G18" s="44"/>
      <x:c r="H18" s="44"/>
      <x:c r="I18" s="40" t="n">
        <x:v>0.3</x:v>
      </x:c>
      <x:c r="J18" s="40" t="n">
        <x:v>0.05</x:v>
      </x:c>
      <x:c r="K18" s="40" t="n">
        <x:v>0.12</x:v>
      </x:c>
      <x:c r="L18" s="40" t="n">
        <x:v>0.04</x:v>
      </x:c>
      <x:c r="M18" s="40" t="n">
        <x:v>0.1</x:v>
      </x:c>
      <x:c r="N18" s="44"/>
      <x:c r="O18" s="32" t="str"/>
      <x:c r="P18" s="46" t="str">
        <x:f>IF(OR(D18=0,F18=""),"",D18*F18)</x:f>
      </x:c>
      <x:c r="Q18" s="42" t="str">
        <x:f>IF(OR(P18="",G18=""),"",P18/G18)</x:f>
      </x:c>
    </x:row>
    <x:row r="19">
      <x:c r="A19" s="29" t="str">
        <x:v>否</x:v>
      </x:c>
      <x:c r="B19" s="32" t="str"/>
      <x:c r="C19" s="32" t="str"/>
      <x:c r="D19" s="48" t="n">
        <x:v>0</x:v>
      </x:c>
      <x:c r="E19" s="48" t="n">
        <x:v>0</x:v>
      </x:c>
      <x:c r="F19" s="44"/>
      <x:c r="G19" s="44"/>
      <x:c r="H19" s="44"/>
      <x:c r="I19" s="40" t="n">
        <x:v>0.3</x:v>
      </x:c>
      <x:c r="J19" s="40" t="n">
        <x:v>0.05</x:v>
      </x:c>
      <x:c r="K19" s="40" t="n">
        <x:v>0.12</x:v>
      </x:c>
      <x:c r="L19" s="40" t="n">
        <x:v>0.04</x:v>
      </x:c>
      <x:c r="M19" s="40" t="n">
        <x:v>0.1</x:v>
      </x:c>
      <x:c r="N19" s="44"/>
      <x:c r="O19" s="32" t="str"/>
      <x:c r="P19" s="46" t="str">
        <x:f>IF(OR(D19=0,F19=""),"",D19*F19)</x:f>
      </x:c>
      <x:c r="Q19" s="42" t="str">
        <x:f>IF(OR(P19="",G19=""),"",P19/G19)</x:f>
      </x:c>
    </x:row>
    <x:row r="20">
      <x:c r="A20" s="29" t="str">
        <x:v>否</x:v>
      </x:c>
      <x:c r="B20" s="32" t="str"/>
      <x:c r="C20" s="32" t="str"/>
      <x:c r="D20" s="48" t="n">
        <x:v>0</x:v>
      </x:c>
      <x:c r="E20" s="48" t="n">
        <x:v>0</x:v>
      </x:c>
      <x:c r="F20" s="44"/>
      <x:c r="G20" s="44"/>
      <x:c r="H20" s="44"/>
      <x:c r="I20" s="40" t="n">
        <x:v>0.3</x:v>
      </x:c>
      <x:c r="J20" s="40" t="n">
        <x:v>0.05</x:v>
      </x:c>
      <x:c r="K20" s="40" t="n">
        <x:v>0.12</x:v>
      </x:c>
      <x:c r="L20" s="40" t="n">
        <x:v>0.04</x:v>
      </x:c>
      <x:c r="M20" s="40" t="n">
        <x:v>0.1</x:v>
      </x:c>
      <x:c r="N20" s="44"/>
      <x:c r="O20" s="32" t="str"/>
      <x:c r="P20" s="46" t="str">
        <x:f>IF(OR(D20=0,F20=""),"",D20*F20)</x:f>
      </x:c>
      <x:c r="Q20" s="42" t="str">
        <x:f>IF(OR(P20="",G20=""),"",P20/G20)</x:f>
      </x:c>
    </x:row>
    <x:row r="21">
      <x:c r="A21" s="29" t="str">
        <x:v>否</x:v>
      </x:c>
      <x:c r="B21" s="32" t="str"/>
      <x:c r="C21" s="32" t="str"/>
      <x:c r="D21" s="48" t="n">
        <x:v>0</x:v>
      </x:c>
      <x:c r="E21" s="48" t="n">
        <x:v>0</x:v>
      </x:c>
      <x:c r="F21" s="44"/>
      <x:c r="G21" s="44"/>
      <x:c r="H21" s="44"/>
      <x:c r="I21" s="40" t="n">
        <x:v>0.3</x:v>
      </x:c>
      <x:c r="J21" s="40" t="n">
        <x:v>0.05</x:v>
      </x:c>
      <x:c r="K21" s="40" t="n">
        <x:v>0.12</x:v>
      </x:c>
      <x:c r="L21" s="40" t="n">
        <x:v>0.04</x:v>
      </x:c>
      <x:c r="M21" s="40" t="n">
        <x:v>0.1</x:v>
      </x:c>
      <x:c r="N21" s="44"/>
      <x:c r="O21" s="32" t="str"/>
      <x:c r="P21" s="46" t="str">
        <x:f>IF(OR(D21=0,F21=""),"",D21*F21)</x:f>
      </x:c>
      <x:c r="Q21" s="42" t="str">
        <x:f>IF(OR(P21="",G21=""),"",P21/G21)</x:f>
      </x:c>
    </x:row>
    <x:row r="22">
      <x:c r="A22" s="29" t="str">
        <x:v>否</x:v>
      </x:c>
      <x:c r="B22" s="32" t="str"/>
      <x:c r="C22" s="32" t="str"/>
      <x:c r="D22" s="48" t="n">
        <x:v>0</x:v>
      </x:c>
      <x:c r="E22" s="48" t="n">
        <x:v>0</x:v>
      </x:c>
      <x:c r="F22" s="44"/>
      <x:c r="G22" s="44"/>
      <x:c r="H22" s="44"/>
      <x:c r="I22" s="40" t="n">
        <x:v>0.3</x:v>
      </x:c>
      <x:c r="J22" s="40" t="n">
        <x:v>0.05</x:v>
      </x:c>
      <x:c r="K22" s="40" t="n">
        <x:v>0.12</x:v>
      </x:c>
      <x:c r="L22" s="40" t="n">
        <x:v>0.04</x:v>
      </x:c>
      <x:c r="M22" s="40" t="n">
        <x:v>0.1</x:v>
      </x:c>
      <x:c r="N22" s="44"/>
      <x:c r="O22" s="32" t="str"/>
      <x:c r="P22" s="46" t="str">
        <x:f>IF(OR(D22=0,F22=""),"",D22*F22)</x:f>
      </x:c>
      <x:c r="Q22" s="42" t="str">
        <x:f>IF(OR(P22="",G22=""),"",P22/G22)</x:f>
      </x:c>
    </x:row>
    <x:row r="23">
      <x:c r="A23" s="29" t="str">
        <x:v>否</x:v>
      </x:c>
      <x:c r="B23" s="32" t="str"/>
      <x:c r="C23" s="32" t="str"/>
      <x:c r="D23" s="48" t="n">
        <x:v>0</x:v>
      </x:c>
      <x:c r="E23" s="48" t="n">
        <x:v>0</x:v>
      </x:c>
      <x:c r="F23" s="44"/>
      <x:c r="G23" s="44"/>
      <x:c r="H23" s="44"/>
      <x:c r="I23" s="40" t="n">
        <x:v>0.3</x:v>
      </x:c>
      <x:c r="J23" s="40" t="n">
        <x:v>0.05</x:v>
      </x:c>
      <x:c r="K23" s="40" t="n">
        <x:v>0.12</x:v>
      </x:c>
      <x:c r="L23" s="40" t="n">
        <x:v>0.04</x:v>
      </x:c>
      <x:c r="M23" s="40" t="n">
        <x:v>0.1</x:v>
      </x:c>
      <x:c r="N23" s="44"/>
      <x:c r="O23" s="32" t="str"/>
      <x:c r="P23" s="46" t="str">
        <x:f>IF(OR(D23=0,F23=""),"",D23*F23)</x:f>
      </x:c>
      <x:c r="Q23" s="42" t="str">
        <x:f>IF(OR(P23="",G23=""),"",P23/G23)</x:f>
      </x:c>
    </x:row>
    <x:row r="24">
      <x:c r="A24" s="29" t="str">
        <x:v>否</x:v>
      </x:c>
      <x:c r="B24" s="32" t="str"/>
      <x:c r="C24" s="32" t="str"/>
      <x:c r="D24" s="48" t="n">
        <x:v>0</x:v>
      </x:c>
      <x:c r="E24" s="48" t="n">
        <x:v>0</x:v>
      </x:c>
      <x:c r="F24" s="44"/>
      <x:c r="G24" s="44"/>
      <x:c r="H24" s="44"/>
      <x:c r="I24" s="40" t="n">
        <x:v>0.3</x:v>
      </x:c>
      <x:c r="J24" s="40" t="n">
        <x:v>0.05</x:v>
      </x:c>
      <x:c r="K24" s="40" t="n">
        <x:v>0.12</x:v>
      </x:c>
      <x:c r="L24" s="40" t="n">
        <x:v>0.04</x:v>
      </x:c>
      <x:c r="M24" s="40" t="n">
        <x:v>0.1</x:v>
      </x:c>
      <x:c r="N24" s="44"/>
      <x:c r="O24" s="32" t="str"/>
      <x:c r="P24" s="46" t="str">
        <x:f>IF(OR(D24=0,F24=""),"",D24*F24)</x:f>
      </x:c>
      <x:c r="Q24" s="42" t="str">
        <x:f>IF(OR(P24="",G24=""),"",P24/G24)</x:f>
      </x:c>
    </x:row>
  </x:sheetData>
  <x:mergeCells>
    <x:mergeCell ref="A1:Q1"/>
    <x:mergeCell ref="A2:Q2"/>
  </x:mergeCells>
  <x:conditionalFormatting sqref="Q5:Q24">
    <x:cfRule type="cellIs" dxfId="0" priority="1" operator="greaterThan">
      <x:formula>0.3</x:formula>
    </x:cfRule>
  </x:conditionalFormatting>
  <x:dataValidations count="1">
    <x:dataValidation type="list" sqref="A5:A2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d582a9b95a4d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34" hidden="0" customWidth="1"/>
    <x:col min="4" max="4" width="48" hidden="0" customWidth="1"/>
  </x:cols>
  <x:sheetData>
    <x:row r="1" ht="30" customHeight="1">
      <x:c r="A1" s="52" t="str">
        <x:v>仓位录入字段说明</x:v>
      </x:c>
      <x:c r="B1" s="52"/>
      <x:c r="C1" s="52"/>
      <x:c r="D1" s="52"/>
    </x:row>
    <x:row r="3">
      <x:c r="A3" s="58" t="str">
        <x:v>字段</x:v>
      </x:c>
      <x:c r="B3" s="58" t="str">
        <x:v>是否必填</x:v>
      </x:c>
      <x:c r="C3" s="58" t="str">
        <x:v>用途</x:v>
      </x:c>
      <x:c r="D3" s="58" t="str">
        <x:v>填写示例/注意事项</x:v>
      </x:c>
    </x:row>
    <x:row r="4" ht="28" customHeight="1">
      <x:c r="A4" s="2" t="str">
        <x:v>启用</x:v>
      </x:c>
      <x:c r="B4" s="2" t="str">
        <x:v>必填</x:v>
      </x:c>
      <x:c r="C4" s="2" t="str">
        <x:v>是否纳入监控</x:v>
      </x:c>
      <x:c r="D4" s="2" t="str">
        <x:v>仅“是”的行会被程序读取；模板默认均为“否”</x:v>
      </x:c>
    </x:row>
    <x:row r="5" ht="28" customHeight="1">
      <x:c r="A5" s="2" t="str">
        <x:v>股票代码</x:v>
      </x:c>
      <x:c r="B5" s="2" t="str">
        <x:v>启用时必填</x:v>
      </x:c>
      <x:c r="C5" s="2" t="str">
        <x:v>程序内部 A 股代码</x:v>
      </x:c>
      <x:c r="D5" s="2" t="str">
        <x:v>上交所：600000.SH；深交所：000001.SZ；网页也可直接输入六位代码或同步名称库后按名称添加</x:v>
      </x:c>
    </x:row>
    <x:row r="6" ht="28" customHeight="1">
      <x:c r="A6" s="2" t="str">
        <x:v>股票名称</x:v>
      </x:c>
      <x:c r="B6" s="2" t="str">
        <x:v>选填</x:v>
      </x:c>
      <x:c r="C6" s="2" t="str">
        <x:v>通知中显示名称</x:v>
      </x:c>
      <x:c r="D6" s="2" t="str">
        <x:v>可留空，留空时只显示股票代码</x:v>
      </x:c>
    </x:row>
    <x:row r="7" ht="28" customHeight="1">
      <x:c r="A7" s="2" t="str">
        <x:v>持仓股数</x:v>
      </x:c>
      <x:c r="B7" s="2" t="str">
        <x:v>必填</x:v>
      </x:c>
      <x:c r="C7" s="2" t="str">
        <x:v>当前总持仓数量</x:v>
      </x:c>
      <x:c r="D7" s="2" t="str">
        <x:v>无仓位且只希望观察可填 0</x:v>
      </x:c>
    </x:row>
    <x:row r="8" ht="28" customHeight="1">
      <x:c r="A8" s="2" t="str">
        <x:v>可卖股数</x:v>
      </x:c>
      <x:c r="B8" s="2" t="str">
        <x:v>必填</x:v>
      </x:c>
      <x:c r="C8" s="2" t="str">
        <x:v>用于提示是否可执行卖出检查</x:v>
      </x:c>
      <x:c r="D8" s="2" t="str">
        <x:v>请按券商账户可卖数量更新；A股日内买入通常当日不可卖</x:v>
      </x:c>
    </x:row>
    <x:row r="9" ht="28" customHeight="1">
      <x:c r="A9" s="2" t="str">
        <x:v>持仓成本</x:v>
      </x:c>
      <x:c r="B9" s="2" t="str">
        <x:v>有持仓必填</x:v>
      </x:c>
      <x:c r="C9" s="2" t="str">
        <x:v>计算浮盈亏和止损线</x:v>
      </x:c>
      <x:c r="D9" s="2" t="str">
        <x:v>按券商显示成本填写，单位：元/股</x:v>
      </x:c>
    </x:row>
    <x:row r="10" ht="28" customHeight="1">
      <x:c r="A10" s="2" t="str">
        <x:v>账户总资产</x:v>
      </x:c>
      <x:c r="B10" s="2" t="str">
        <x:v>必填</x:v>
      </x:c>
      <x:c r="C10" s="2" t="str">
        <x:v>计算股票当前仓位比例</x:v>
      </x:c>
      <x:c r="D10" s="2" t="str">
        <x:v>单位：元；多标的行应填同一账户口径</x:v>
      </x:c>
    </x:row>
    <x:row r="11" ht="28" customHeight="1">
      <x:c r="A11" s="2" t="str">
        <x:v>可用现金</x:v>
      </x:c>
      <x:c r="B11" s="2" t="str">
        <x:v>选填</x:v>
      </x:c>
      <x:c r="C11" s="2" t="str">
        <x:v>未来用于加仓额度约束扩展</x:v>
      </x:c>
      <x:c r="D11" s="2" t="str">
        <x:v>单位：元</x:v>
      </x:c>
    </x:row>
    <x:row r="12" ht="28" customHeight="1">
      <x:c r="A12" s="2" t="str">
        <x:v>最大仓位比例</x:v>
      </x:c>
      <x:c r="B12" s="2" t="str">
        <x:v>必填</x:v>
      </x:c>
      <x:c r="C12" s="2" t="str">
        <x:v>触发仓位超限提醒</x:v>
      </x:c>
      <x:c r="D12" s="2" t="str">
        <x:v>30% 填 30% 或 0.30；模板默认值只是示例</x:v>
      </x:c>
    </x:row>
    <x:row r="13" ht="28" customHeight="1">
      <x:c r="A13" s="2" t="str">
        <x:v>固定止损比例</x:v>
      </x:c>
      <x:c r="B13" s="2" t="str">
        <x:v>必填</x:v>
      </x:c>
      <x:c r="C13" s="2" t="str">
        <x:v>价格相对成本跌幅触发高风险提醒</x:v>
      </x:c>
      <x:c r="D13" s="2" t="str">
        <x:v>5% 填 5% 或 0.05；需按自己的计划修改</x:v>
      </x:c>
    </x:row>
    <x:row r="14" ht="28" customHeight="1">
      <x:c r="A14" s="2" t="str">
        <x:v>止盈触发比例</x:v>
      </x:c>
      <x:c r="B14" s="2" t="str">
        <x:v>必填</x:v>
      </x:c>
      <x:c r="C14" s="2" t="str">
        <x:v>达到盈利幅度后才启用移动止盈监控</x:v>
      </x:c>
      <x:c r="D14" s="2" t="str">
        <x:v>12% 填 12% 或 0.12</x:v>
      </x:c>
    </x:row>
    <x:row r="15" ht="28" customHeight="1">
      <x:c r="A15" s="2" t="str">
        <x:v>移动止盈回撤比例</x:v>
      </x:c>
      <x:c r="B15" s="2" t="str">
        <x:v>必填</x:v>
      </x:c>
      <x:c r="C15" s="2" t="str">
        <x:v>从持有最高价回撤达到阈值后提醒</x:v>
      </x:c>
      <x:c r="D15" s="2" t="str">
        <x:v>4% 填 4% 或 0.04</x:v>
      </x:c>
    </x:row>
    <x:row r="16" ht="28" customHeight="1">
      <x:c r="A16" s="2" t="str">
        <x:v>单次最大新增仓位比例</x:v>
      </x:c>
      <x:c r="B16" s="2" t="str">
        <x:v>必填</x:v>
      </x:c>
      <x:c r="C16" s="2" t="str">
        <x:v>放量突破观察消息中显示单次新增上限</x:v>
      </x:c>
      <x:c r="D16" s="2" t="str">
        <x:v>10% 填 10% 或 0.10</x:v>
      </x:c>
    </x:row>
    <x:row r="17" ht="28" customHeight="1">
      <x:c r="A17" s="2" t="str">
        <x:v>历史持有最高价</x:v>
      </x:c>
      <x:c r="B17" s="2" t="str">
        <x:v>建议填写</x:v>
      </x:c>
      <x:c r="C17" s="2" t="str">
        <x:v>已有持仓启动监控时用于移动止盈基线</x:v>
      </x:c>
      <x:c r="D17" s="2" t="str">
        <x:v>不填则从程序启动后的观测最高价开始累计</x:v>
      </x:c>
    </x:row>
    <x:row r="18" ht="28" customHeight="1">
      <x:c r="A18" s="2" t="str">
        <x:v>成本市值/成本仓位占比</x:v>
      </x:c>
      <x:c r="B18" s="2" t="str">
        <x:v>自动计算</x:v>
      </x:c>
      <x:c r="C18" s="2" t="str">
        <x:v>录入检查用，不被行情判断直接使用</x:v>
      </x:c>
      <x:c r="D18" s="2" t="str">
        <x:v>灰色公式列，请勿修改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6241cdc220a4e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65" hidden="0" customWidth="1"/>
    <x:col min="4" max="4" width="38" hidden="0" customWidth="1"/>
  </x:cols>
  <x:sheetData>
    <x:row r="1">
      <x:c r="A1" s="51" t="str">
        <x:v>V1 提醒规则与级别</x:v>
      </x:c>
      <x:c r="B1" s="51"/>
      <x:c r="C1" s="51"/>
      <x:c r="D1" s="51"/>
    </x:row>
    <x:row r="3">
      <x:c r="A3" s="57" t="str">
        <x:v>规则</x:v>
      </x:c>
      <x:c r="B3" s="57" t="str">
        <x:v>默认级别</x:v>
      </x:c>
      <x:c r="C3" s="57" t="str">
        <x:v>触发条件</x:v>
      </x:c>
      <x:c r="D3" s="57" t="str">
        <x:v>提醒动作</x:v>
      </x:c>
    </x:row>
    <x:row r="4" ht="36" customHeight="1">
      <x:c r="A4" s="2" t="str">
        <x:v>固定止损线触发</x:v>
      </x:c>
      <x:c r="B4" s="2" t="str">
        <x:v>高风险 / 发短信</x:v>
      </x:c>
      <x:c r="C4" s="2" t="str">
        <x:v>现价相对持仓成本跌幅 ≥ 固定止损比例</x:v>
      </x:c>
      <x:c r="D4" s="2" t="str">
        <x:v>检查止损或减仓计划</x:v>
      </x:c>
    </x:row>
    <x:row r="5" ht="36" customHeight="1">
      <x:c r="A5" s="2" t="str">
        <x:v>盈利回撤保护触发</x:v>
      </x:c>
      <x:c r="B5" s="2" t="str">
        <x:v>高风险 / 发短信</x:v>
      </x:c>
      <x:c r="C5" s="2" t="str">
        <x:v>先达到止盈触发比例，之后从最高价回撤 ≥ 移动止盈回撤比例</x:v>
      </x:c>
      <x:c r="D5" s="2" t="str">
        <x:v>检查移动止盈或减仓计划</x:v>
      </x:c>
    </x:row>
    <x:row r="6" ht="36" customHeight="1">
      <x:c r="A6" s="2" t="str">
        <x:v>仓位超过计划上限</x:v>
      </x:c>
      <x:c r="B6" s="2" t="str">
        <x:v>需关注 / 企业微信</x:v>
      </x:c>
      <x:c r="C6" s="2" t="str">
        <x:v>当前市值 ÷ 账户总资产 &gt; 最大仓位比例</x:v>
      </x:c>
      <x:c r="D6" s="2" t="str">
        <x:v>检查风险敞口</x:v>
      </x:c>
    </x:row>
    <x:row r="7" ht="36" customHeight="1">
      <x:c r="A7" s="2" t="str">
        <x:v>5分钟趋势转弱</x:v>
      </x:c>
      <x:c r="B7" s="2" t="str">
        <x:v>需关注 / 企业微信</x:v>
      </x:c>
      <x:c r="C7" s="2" t="str">
        <x:v>积累至少20根5分钟K线后：收盘价 &lt; MA20 且 MA5 &lt; MA20</x:v>
      </x:c>
      <x:c r="D7" s="2" t="str">
        <x:v>检查是否仍符合持仓计划</x:v>
      </x:c>
    </x:row>
    <x:row r="8" ht="36" customHeight="1">
      <x:c r="A8" s="2" t="str">
        <x:v>放量突破观察信号</x:v>
      </x:c>
      <x:c r="B8" s="2" t="str">
        <x:v>观察候选 / 企业微信</x:v>
      </x:c>
      <x:c r="C8" s="2" t="str">
        <x:v>价格突破近20根高点、MA5 &gt; MA20、成交量放大且未超仓位</x:v>
      </x:c>
      <x:c r="D8" s="2" t="str">
        <x:v>仅供人工核查，不直接指示买入</x:v>
      </x:c>
    </x:row>
    <x:row r="10">
      <x:c r="A10" s="56" t="str">
        <x:v>安全边界</x:v>
      </x:c>
      <x:c r="B10" s="56" t="str"/>
      <x:c r="C10" s="56" t="str"/>
      <x:c r="D10" s="56" t="str"/>
    </x:row>
    <x:row r="11">
      <x:c r="A11" s="2" t="str">
        <x:v>1</x:v>
      </x:c>
      <x:c r="B11" s="2" t="str"/>
      <x:c r="C11" s="2" t="str">
        <x:v>系统只发送规则提醒，不自动调用券商交易接口。</x:v>
      </x:c>
      <x:c r="D11" s="2" t="str"/>
    </x:row>
    <x:row r="12">
      <x:c r="A12" s="2" t="str">
        <x:v>2</x:v>
      </x:c>
      <x:c r="B12" s="2" t="str"/>
      <x:c r="C12" s="2" t="str">
        <x:v>模板阈值为示例值，请先在 dry_run 模式验证，再改成符合自身计划的参数。</x:v>
      </x:c>
      <x:c r="D12" s="2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4d5556b40cc42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3" hidden="0" customWidth="1"/>
    <x:col min="3" max="3" width="27" hidden="0" customWidth="1"/>
    <x:col min="4" max="4" width="42" hidden="0" customWidth="1"/>
  </x:cols>
  <x:sheetData>
    <x:row r="1">
      <x:c r="A1" s="51" t="str">
        <x:v>通知与行情接入清单</x:v>
      </x:c>
      <x:c r="B1" s="51"/>
      <x:c r="C1" s="51"/>
      <x:c r="D1" s="51"/>
    </x:row>
    <x:row r="3">
      <x:c r="A3" s="57" t="str">
        <x:v>项目</x:v>
      </x:c>
      <x:c r="B3" s="57" t="str">
        <x:v>在哪里填写</x:v>
      </x:c>
      <x:c r="C3" s="57" t="str">
        <x:v>是否需要凭据/审核</x:v>
      </x:c>
      <x:c r="D3" s="57" t="str">
        <x:v>说明</x:v>
      </x:c>
    </x:row>
    <x:row r="4" ht="34" customHeight="1">
      <x:c r="A4" s="2" t="str">
        <x:v>AKShare 5分钟行情/名称库</x:v>
      </x:c>
      <x:c r="B4" s="2" t="str">
        <x:v>无需配置行情 Token</x:v>
      </x:c>
      <x:c r="C4" s="2" t="str">
        <x:v>公开数据接口</x:v>
      </x:c>
      <x:c r="D4" s="2" t="str">
        <x:v>用于免费验证提醒逻辑；文档：https://akshare.akfamily.xyz/data/stock/stock.html</x:v>
      </x:c>
    </x:row>
    <x:row r="5" ht="38" customHeight="1">
      <x:c r="A5" s="2" t="str">
        <x:v>企业微信机器人</x:v>
      </x:c>
      <x:c r="B5" s="2" t="str">
        <x:v>.env: WECOM_BOT_WEBHOOK</x:v>
      </x:c>
      <x:c r="C5" s="2" t="str">
        <x:v>群机器人 Webhook</x:v>
      </x:c>
      <x:c r="D5" s="2" t="str">
        <x:v>普通和高风险提醒均可发送；不要把 Webhook 上传到 Git</x:v>
      </x:c>
    </x:row>
    <x:row r="6" ht="38" customHeight="1">
      <x:c r="A6" s="2" t="str">
        <x:v>阿里云短信</x:v>
      </x:c>
      <x:c r="B6" s="2" t="str">
        <x:v>.env: ALIBABA_CLOUD_ACCESS_KEY_ID / SECRET</x:v>
      </x:c>
      <x:c r="C6" s="2" t="str">
        <x:v>RAM AccessKey + 签名/模板审核</x:v>
      </x:c>
      <x:c r="D6" s="2" t="str">
        <x:v>默认只对 HIGH 级别提醒发短信</x:v>
      </x:c>
    </x:row>
    <x:row r="7" ht="38" customHeight="1">
      <x:c r="A7" s="2" t="str">
        <x:v>短信签名/模板/号码</x:v>
      </x:c>
      <x:c r="B7" s="2" t="str">
        <x:v>config/config.yaml</x:v>
      </x:c>
      <x:c r="C7" s="2" t="str">
        <x:v>必须填写</x:v>
      </x:c>
      <x:c r="D7" s="2" t="str">
        <x:v>模板建议含变量 stock、signal、price</x:v>
      </x:c>
    </x:row>
    <x:row r="8" ht="38" customHeight="1">
      <x:c r="A8" s="2" t="str">
        <x:v>首次安全联调</x:v>
      </x:c>
      <x:c r="B8" s="2" t="str">
        <x:v>config/config.yaml: app.dry_run</x:v>
      </x:c>
      <x:c r="C8" s="2" t="str">
        <x:v>无需</x:v>
      </x:c>
      <x:c r="D8" s="2" t="str">
        <x:v>默认 true，只写日志预览；联调通过后手工改 false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114532ec97249e8"/>
  </x:tableParts>
</x:worksheet>
</file>